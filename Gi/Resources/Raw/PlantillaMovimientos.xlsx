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368" documentId="11_9248B46DC1CBB2E3ED7FF6F9903E8C1851038383" xr6:coauthVersionLast="47" xr6:coauthVersionMax="47" xr10:uidLastSave="{E70A5148-7804-4842-A8E8-8EEFAA70DA76}"/>
  <bookViews>
    <workbookView xWindow="240" yWindow="105" windowWidth="14805" windowHeight="801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S7" i="1"/>
  <c r="P8" i="1"/>
  <c r="S8" i="1"/>
  <c r="P9" i="1"/>
  <c r="S9" i="1"/>
  <c r="P10" i="1"/>
  <c r="P11" i="1"/>
</calcChain>
</file>

<file path=xl/sharedStrings.xml><?xml version="1.0" encoding="utf-8"?>
<sst xmlns="http://schemas.openxmlformats.org/spreadsheetml/2006/main" count="26" uniqueCount="24">
  <si>
    <t>Gestion De Ingresos.</t>
  </si>
  <si>
    <t xml:space="preserve">    © R.Closer</t>
  </si>
  <si>
    <t>REFERENCIA</t>
  </si>
  <si>
    <t>INGRESO / EGRESO</t>
  </si>
  <si>
    <t>DETALLES</t>
  </si>
  <si>
    <t>Fecha</t>
  </si>
  <si>
    <t>Tipo de movimiento</t>
  </si>
  <si>
    <t>Tipo de pago</t>
  </si>
  <si>
    <t>Motivo</t>
  </si>
  <si>
    <t>Origen / Destino</t>
  </si>
  <si>
    <t>Descripción</t>
  </si>
  <si>
    <t>Monto</t>
  </si>
  <si>
    <t>Nombre</t>
  </si>
  <si>
    <t>Cantidad</t>
  </si>
  <si>
    <t>Precio C/u</t>
  </si>
  <si>
    <t>SALDO</t>
  </si>
  <si>
    <t>Resumen de saldo por tipo de pago</t>
  </si>
  <si>
    <t>TIPO DE PAGO</t>
  </si>
  <si>
    <t>INGRESOS / ENTRADAS</t>
  </si>
  <si>
    <t>Efectivo</t>
  </si>
  <si>
    <t>EGRESOS / SALIDAS</t>
  </si>
  <si>
    <t>Transferencia</t>
  </si>
  <si>
    <t>Tarjeta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</si>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</sst>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_ ;_-[$$-409]* \-#,##0.0\ ;_-[$$-409]* &quot;-&quot;??_ ;_-@_ "/>
  </numFmts>
  <fonts count="7">
    <font>
      <sz val="11"/>
      <color theme="1"/>
      <name val="Calibri"/>
      <family val="2"/>
      <scheme val="minor"/>
    </font>
    <font>
      <b/>
      <sz val="28"/>
      <color theme="1"/>
      <name val="Arial"/>
    </font>
    <font>
      <b/>
      <sz val="11"/>
      <color theme="1"/>
      <name val="Calibri"/>
    </font>
    <font>
      <b/>
      <sz val="11"/>
      <color theme="0"/>
      <name val="Calibri"/>
    </font>
    <font>
      <b/>
      <sz val="14"/>
      <color theme="0"/>
      <name val="Calibri"/>
    </font>
    <font>
      <i/>
      <sz val="11"/>
      <color theme="1" tint="0.499984740745262"/>
      <name val="Calibri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1B998B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3" xfId="0" applyBorder="1"/>
    <xf numFmtId="0" fontId="0" fillId="2" borderId="0" xfId="0" applyFill="1" applyBorder="1"/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0" fillId="0" borderId="4" xfId="0" applyBorder="1"/>
    <xf numFmtId="164" fontId="0" fillId="2" borderId="0" xfId="0" applyNumberFormat="1" applyFill="1"/>
    <xf numFmtId="164" fontId="0" fillId="3" borderId="0" xfId="0" applyNumberFormat="1" applyFill="1"/>
    <xf numFmtId="164" fontId="0" fillId="0" borderId="0" xfId="0" applyNumberFormat="1"/>
    <xf numFmtId="164" fontId="3" fillId="3" borderId="0" xfId="0" applyNumberFormat="1" applyFont="1" applyFill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0" fillId="0" borderId="4" xfId="0" applyNumberFormat="1" applyBorder="1"/>
    <xf numFmtId="0" fontId="4" fillId="3" borderId="1" xfId="0" applyFont="1" applyFill="1" applyBorder="1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6" fillId="0" borderId="1" xfId="0" applyFont="1" applyBorder="1"/>
    <xf numFmtId="0" fontId="5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B998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Datos!$P$7</c:f>
              <c:strCache>
                <c:ptCount val="1"/>
                <c:pt idx="0">
                  <c:v> SALDO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Datos!$O$8:$O$11</c:f>
              <c:strCache>
                <c:ptCount val="4"/>
                <c:pt idx="0">
                  <c:v>Efectivo</c:v>
                </c:pt>
                <c:pt idx="1">
                  <c:v>Transferencia</c:v>
                </c:pt>
                <c:pt idx="2">
                  <c:v>Tarjeta</c:v>
                </c:pt>
                <c:pt idx="3">
                  <c:v>Otro</c:v>
                </c:pt>
              </c:strCache>
            </c:strRef>
          </c:cat>
          <c:val>
            <c:numRef>
              <c:f>Datos!$P$8:$P$11</c:f>
              <c:numCache>
                <c:formatCode>_-[$$-409]* #,##0.0_ ;_-[$$-409]* \-#,##0.0\ ;_-[$$-409]* "-"??_ ;_-@_ 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0-451B-8718-95F660789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951623"/>
        <c:axId val="673367559"/>
      </c:barChart>
      <c:catAx>
        <c:axId val="209995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67559"/>
        <c:crosses val="autoZero"/>
        <c:auto val="1"/>
        <c:lblAlgn val="ctr"/>
        <c:lblOffset val="100"/>
        <c:noMultiLvlLbl val="0"/>
      </c:catAx>
      <c:valAx>
        <c:axId val="6733675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_ ;_-[$$-409]* \-#,##0.0\ ;_-[$$-409]* &quot;-&quot;??_ ;_-@_ " sourceLinked="1"/>
        <c:majorTickMark val="none"/>
        <c:minorTickMark val="none"/>
        <c:tickLblPos val="nextTo"/>
        <c:crossAx val="2099951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11</xdr:row>
      <xdr:rowOff>180975</xdr:rowOff>
    </xdr:from>
    <xdr:to>
      <xdr:col>18</xdr:col>
      <xdr:colOff>1371600</xdr:colOff>
      <xdr:row>24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3EE790-4315-77BE-3552-244498F4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1" workbookViewId="0">
      <selection activeCell="K3" sqref="K3"/>
    </sheetView>
  </sheetViews>
  <sheetFormatPr defaultRowHeight="15"/>
  <cols>
    <col min="2" max="8" width="20.7109375" style="17" customWidth="1"/>
    <col min="9" max="11" width="10.7109375" style="17" customWidth="1"/>
    <col min="12" max="12" width="20.7109375" style="12" customWidth="1"/>
    <col min="14" max="14" width="9.140625" style="5"/>
    <col min="15" max="15" width="15.7109375" customWidth="1"/>
    <col min="16" max="16" width="15.7109375" style="12" customWidth="1"/>
    <col min="18" max="18" width="20.7109375" customWidth="1"/>
    <col min="19" max="19" width="20.7109375" style="12" customWidth="1"/>
  </cols>
  <sheetData>
    <row r="1" spans="1:19" s="1" customFormat="1" ht="54" customHeight="1">
      <c r="A1" s="22" t="s">
        <v>0</v>
      </c>
      <c r="B1" s="22"/>
      <c r="C1" s="22"/>
      <c r="D1" s="22"/>
      <c r="E1" s="6"/>
      <c r="F1" s="6"/>
      <c r="G1" s="6"/>
      <c r="H1" s="6"/>
      <c r="I1" s="6"/>
      <c r="J1" s="6"/>
      <c r="K1" s="6"/>
      <c r="L1" s="10"/>
      <c r="M1" s="6"/>
      <c r="N1" s="6"/>
      <c r="P1" s="10"/>
      <c r="S1" s="10"/>
    </row>
    <row r="2" spans="1:19" s="2" customFormat="1" ht="18.75">
      <c r="B2" s="16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1"/>
      <c r="N2" s="4"/>
      <c r="P2" s="11"/>
      <c r="S2" s="11"/>
    </row>
    <row r="3" spans="1:19"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9">
      <c r="B4" s="23" t="s">
        <v>2</v>
      </c>
      <c r="C4" s="23"/>
      <c r="D4" s="23"/>
      <c r="E4" s="24"/>
      <c r="F4" s="23" t="s">
        <v>3</v>
      </c>
      <c r="G4" s="23"/>
      <c r="H4" s="24"/>
      <c r="I4" s="25" t="s">
        <v>4</v>
      </c>
      <c r="J4" s="25"/>
      <c r="K4" s="25"/>
    </row>
    <row r="5" spans="1:19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13" t="s">
        <v>15</v>
      </c>
    </row>
    <row r="6" spans="1:19">
      <c r="L6" s="12">
        <f>H6</f>
        <v>0</v>
      </c>
      <c r="M6" s="12"/>
      <c r="O6" s="21" t="s">
        <v>16</v>
      </c>
      <c r="P6" s="21"/>
    </row>
    <row r="7" spans="1:19">
      <c r="L7" s="12" t="str">
        <f>IF(H7="","",SUM($H$6:H7))</f>
        <v/>
      </c>
      <c r="M7" s="12"/>
      <c r="O7" s="7" t="s">
        <v>17</v>
      </c>
      <c r="P7" s="14" t="s">
        <v>15</v>
      </c>
      <c r="R7" s="7" t="s">
        <v>18</v>
      </c>
      <c r="S7" s="15">
        <f>SUMIFS(H:H, C:C, "Ingreso")</f>
        <v>0</v>
      </c>
    </row>
    <row r="8" spans="1:19">
      <c r="O8" s="9" t="s">
        <v>19</v>
      </c>
      <c r="P8" s="15">
        <f>SUMIFS(H:H, D:D, "Efectivo")</f>
        <v>0</v>
      </c>
      <c r="R8" s="7" t="s">
        <v>20</v>
      </c>
      <c r="S8" s="15">
        <f>SUMIFS(H:H, C:C, "Egreso")</f>
        <v>0</v>
      </c>
    </row>
    <row r="9" spans="1:19">
      <c r="C9" s="20"/>
      <c r="O9" s="9" t="s">
        <v>21</v>
      </c>
      <c r="P9" s="15">
        <f>SUMIFS(H:H, D:D, "Transferencia")</f>
        <v>0</v>
      </c>
      <c r="R9" s="8" t="s">
        <v>15</v>
      </c>
      <c r="S9" s="15">
        <f>S7+S8</f>
        <v>0</v>
      </c>
    </row>
    <row r="10" spans="1:19">
      <c r="O10" s="9" t="s">
        <v>22</v>
      </c>
      <c r="P10" s="15">
        <f>SUMIFS(H:H, D:D, "Tarjeta")</f>
        <v>0</v>
      </c>
    </row>
    <row r="11" spans="1:19">
      <c r="O11" s="9" t="s">
        <v>23</v>
      </c>
      <c r="P11" s="15">
        <f>SUMIFS(H:H, D:D, "Otro")</f>
        <v>0</v>
      </c>
    </row>
  </sheetData>
  <mergeCells count="5">
    <mergeCell ref="O6:P6"/>
    <mergeCell ref="A1:D1"/>
    <mergeCell ref="B4:E4"/>
    <mergeCell ref="F4:H4"/>
    <mergeCell ref="I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Ticona</cp:lastModifiedBy>
  <cp:revision/>
  <dcterms:created xsi:type="dcterms:W3CDTF">2026-01-16T03:15:02Z</dcterms:created>
  <dcterms:modified xsi:type="dcterms:W3CDTF">2026-01-16T06:06:56Z</dcterms:modified>
  <cp:category/>
  <cp:contentStatus/>
</cp:coreProperties>
</file>